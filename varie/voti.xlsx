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glio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<sst xmlns="http://schemas.openxmlformats.org/spreadsheetml/2006/main" count="22" uniqueCount="22">
  <si>
    <t>voto</t>
  </si>
  <si>
    <t>CFU</t>
  </si>
  <si>
    <t xml:space="preserve">media ponderata</t>
  </si>
  <si>
    <t>algebra</t>
  </si>
  <si>
    <t>computazionale</t>
  </si>
  <si>
    <t>fisica</t>
  </si>
  <si>
    <t xml:space="preserve">fondamenti 1</t>
  </si>
  <si>
    <t xml:space="preserve">fondamenti 2</t>
  </si>
  <si>
    <t xml:space="preserve">matematica 1</t>
  </si>
  <si>
    <t>reti</t>
  </si>
  <si>
    <t xml:space="preserve">matematica 2</t>
  </si>
  <si>
    <t>metodi</t>
  </si>
  <si>
    <t>poo</t>
  </si>
  <si>
    <t xml:space="preserve">elettromagnetismo ed elettrotecnica</t>
  </si>
  <si>
    <t>algoritmi</t>
  </si>
  <si>
    <t>automatica</t>
  </si>
  <si>
    <t>sistemi</t>
  </si>
  <si>
    <t xml:space="preserve">telecomunicazioni e internet computing</t>
  </si>
  <si>
    <t xml:space="preserve">ingegneria del software</t>
  </si>
  <si>
    <t xml:space="preserve">basi di dati e machine learning</t>
  </si>
  <si>
    <t>elettronica</t>
  </si>
  <si>
    <t xml:space="preserve">ricerca operativa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</si>
</sst>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Aptos Narrow"/>
      <scheme val="minor"/>
    </font>
    <font>
      <b/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6">
    <xf fontId="0" fillId="0" borderId="0" numFmtId="0" xfId="0"/>
    <xf fontId="0" fillId="0" borderId="0" numFmtId="0" xfId="0" applyAlignment="1">
      <alignment horizontal="center"/>
    </xf>
    <xf fontId="1" fillId="0" borderId="0" numFmtId="0" xfId="0" applyFont="1"/>
    <xf fontId="1" fillId="0" borderId="0" numFmtId="0" xfId="0" applyFont="1" applyAlignment="1">
      <alignment horizontal="center"/>
    </xf>
    <xf fontId="1" fillId="0" borderId="0" numFmtId="0" xfId="0" applyFont="1" applyAlignment="1">
      <alignment horizontal="center" wrapText="1"/>
    </xf>
    <xf fontId="1" fillId="0" borderId="0" numFmt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4" activeCellId="0" sqref="F14"/>
    </sheetView>
  </sheetViews>
  <sheetFormatPr defaultRowHeight="14.25"/>
  <cols>
    <col customWidth="1" min="1" max="1" width="17.81640625"/>
    <col min="2" max="4" style="1" width="8.90625"/>
    <col bestFit="1" customWidth="1" min="6" max="6" width="14.6328125"/>
  </cols>
  <sheetData>
    <row r="1">
      <c r="A1" s="2"/>
      <c r="B1" s="3" t="s">
        <v>0</v>
      </c>
      <c r="C1" s="3" t="s">
        <v>1</v>
      </c>
      <c r="F1" t="s">
        <v>2</v>
      </c>
    </row>
    <row r="2">
      <c r="A2" s="2" t="s">
        <v>3</v>
      </c>
      <c r="B2" s="1"/>
      <c r="C2" s="1">
        <v>6</v>
      </c>
      <c r="D2" s="1">
        <f>IF(B2&lt;&gt;"",B2*C2,0)</f>
        <v>0</v>
      </c>
      <c r="F2">
        <f>IF(SUM(IF(B2:B20&lt;&gt;"",C2:C20,0))&gt;0,SUM(D2:D20)/SUM(IF(B2:B20&lt;&gt;"",C2:C20,0)),0)</f>
        <v>0</v>
      </c>
    </row>
    <row r="3">
      <c r="A3" s="2" t="s">
        <v>4</v>
      </c>
      <c r="B3" s="1"/>
      <c r="C3" s="1">
        <v>6</v>
      </c>
      <c r="D3" s="1">
        <f>IF(B3&lt;&gt;"",B3*C3,0)</f>
        <v>0</v>
      </c>
    </row>
    <row r="4">
      <c r="A4" s="2" t="s">
        <v>5</v>
      </c>
      <c r="B4" s="1"/>
      <c r="C4" s="1">
        <v>9</v>
      </c>
      <c r="D4" s="1">
        <f>IF(B4&lt;&gt;"",B4*C4,0)</f>
        <v>0</v>
      </c>
    </row>
    <row r="5">
      <c r="A5" s="2" t="s">
        <v>6</v>
      </c>
      <c r="B5" s="1"/>
      <c r="C5" s="1">
        <v>9</v>
      </c>
      <c r="D5" s="1">
        <f>IF(B5&lt;&gt;"",B5*C5,0)</f>
        <v>0</v>
      </c>
    </row>
    <row r="6">
      <c r="A6" s="2" t="s">
        <v>7</v>
      </c>
      <c r="B6" s="1"/>
      <c r="C6" s="1">
        <v>6</v>
      </c>
      <c r="D6" s="1">
        <f>IF(B6&lt;&gt;"",B6*C6,0)</f>
        <v>0</v>
      </c>
    </row>
    <row r="7">
      <c r="A7" s="2" t="s">
        <v>8</v>
      </c>
      <c r="B7" s="1"/>
      <c r="C7" s="1">
        <v>9</v>
      </c>
      <c r="D7" s="1">
        <f>IF(B7&lt;&gt;"",B7*C7,0)</f>
        <v>0</v>
      </c>
    </row>
    <row r="8">
      <c r="A8" s="2" t="s">
        <v>9</v>
      </c>
      <c r="B8" s="1"/>
      <c r="C8" s="1">
        <v>9</v>
      </c>
      <c r="D8" s="1">
        <f>IF(B8&lt;&gt;"",B8*C8,0)</f>
        <v>0</v>
      </c>
    </row>
    <row r="9">
      <c r="A9" s="2" t="s">
        <v>10</v>
      </c>
      <c r="B9" s="1"/>
      <c r="C9" s="1">
        <v>9</v>
      </c>
      <c r="D9" s="1">
        <f>IF(B9&lt;&gt;"",B9*C9,0)</f>
        <v>0</v>
      </c>
    </row>
    <row r="10">
      <c r="A10" s="2" t="s">
        <v>11</v>
      </c>
      <c r="B10" s="1"/>
      <c r="C10" s="1">
        <v>6</v>
      </c>
      <c r="D10" s="1">
        <f>IF(B10&lt;&gt;"",B10*C10,0)</f>
        <v>0</v>
      </c>
    </row>
    <row r="11">
      <c r="A11" s="2" t="s">
        <v>12</v>
      </c>
      <c r="B11" s="1"/>
      <c r="C11" s="1">
        <v>6</v>
      </c>
      <c r="D11" s="1">
        <f>IF(B11&lt;&gt;"",B11*C11,0)</f>
        <v>0</v>
      </c>
    </row>
    <row r="12" ht="28.5">
      <c r="A12" s="4" t="s">
        <v>13</v>
      </c>
      <c r="C12" s="1">
        <v>12</v>
      </c>
      <c r="D12" s="1">
        <f>IF(B12&lt;&gt;"",B12*C12,0)</f>
        <v>0</v>
      </c>
    </row>
    <row r="13">
      <c r="A13" s="2" t="s">
        <v>14</v>
      </c>
      <c r="C13" s="1">
        <v>6</v>
      </c>
      <c r="D13" s="1">
        <f>IF(B13&lt;&gt;"",B13*C13,0)</f>
        <v>0</v>
      </c>
    </row>
    <row r="14">
      <c r="A14" s="2" t="s">
        <v>15</v>
      </c>
      <c r="C14" s="1">
        <v>9</v>
      </c>
      <c r="D14" s="1">
        <f>IF(B14&lt;&gt;"",B14*C14,0)</f>
        <v>0</v>
      </c>
    </row>
    <row r="15">
      <c r="A15" s="2" t="s">
        <v>16</v>
      </c>
      <c r="C15" s="1">
        <v>9</v>
      </c>
      <c r="D15" s="1">
        <f>IF(B15&lt;&gt;"",B15*C15,0)</f>
        <v>0</v>
      </c>
    </row>
    <row r="16" ht="28.5">
      <c r="A16" s="5" t="s">
        <v>17</v>
      </c>
      <c r="C16" s="1">
        <v>12</v>
      </c>
      <c r="D16" s="1">
        <f>IF(B16&lt;&gt;"",B16*C16,0)</f>
        <v>0</v>
      </c>
    </row>
    <row r="17" ht="28.5">
      <c r="A17" s="5" t="s">
        <v>18</v>
      </c>
      <c r="C17" s="1">
        <v>9</v>
      </c>
      <c r="D17" s="1">
        <f>IF(B17&lt;&gt;"",B17*C17,0)</f>
        <v>0</v>
      </c>
    </row>
    <row r="18" ht="28.5">
      <c r="A18" s="5" t="s">
        <v>19</v>
      </c>
      <c r="C18" s="1">
        <v>12</v>
      </c>
      <c r="D18" s="1">
        <f>IF(B18&lt;&gt;"",B18*C18,0)</f>
        <v>0</v>
      </c>
    </row>
    <row r="19">
      <c r="A19" s="2" t="s">
        <v>20</v>
      </c>
      <c r="C19" s="1">
        <v>6</v>
      </c>
      <c r="D19" s="1">
        <f>IF(B19&lt;&gt;"",B19*C19,0)</f>
        <v>0</v>
      </c>
    </row>
    <row r="20">
      <c r="A20" s="2" t="s">
        <v>21</v>
      </c>
      <c r="C20" s="1">
        <v>6</v>
      </c>
      <c r="D20" s="1">
        <f>IF(B20&lt;&gt;"",B20*C20,0)</f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SANTO LIUZZO</dc:creator>
  <cp:revision>2</cp:revision>
  <dcterms:created xsi:type="dcterms:W3CDTF">2026-03-19T13:31:31Z</dcterms:created>
  <dcterms:modified xsi:type="dcterms:W3CDTF">2026-06-26T13:50:31Z</dcterms:modified>
</cp:coreProperties>
</file>